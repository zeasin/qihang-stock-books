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75" windowWidth="11835" windowHeight="5145"/>
  </bookViews>
  <sheets>
    <sheet name="ExportOrderDetailList2022110617" sheetId="1" r:id="rId1"/>
  </sheets>
  <calcPr calcId="0"/>
</workbook>
</file>

<file path=xl/calcChain.xml><?xml version="1.0" encoding="utf-8"?>
<calcChain xmlns="http://schemas.openxmlformats.org/spreadsheetml/2006/main">
  <c r="A2" i="1" l="1"/>
  <c r="B2" i="1"/>
  <c r="L2" i="1"/>
  <c r="A3" i="1"/>
  <c r="B3" i="1"/>
  <c r="L3" i="1"/>
</calcChain>
</file>

<file path=xl/sharedStrings.xml><?xml version="1.0" encoding="utf-8"?>
<sst xmlns="http://schemas.openxmlformats.org/spreadsheetml/2006/main" count="35" uniqueCount="29">
  <si>
    <t>子订单编号</t>
  </si>
  <si>
    <t>主订单编号</t>
  </si>
  <si>
    <t>标题</t>
  </si>
  <si>
    <t>价格</t>
  </si>
  <si>
    <t>购买数量</t>
  </si>
  <si>
    <t>外部系统编号</t>
  </si>
  <si>
    <t>商品属性</t>
  </si>
  <si>
    <t>套餐信息</t>
  </si>
  <si>
    <t>备注</t>
  </si>
  <si>
    <t>订单状态</t>
  </si>
  <si>
    <t>商家编码</t>
  </si>
  <si>
    <t>支付单号</t>
  </si>
  <si>
    <t>买家应付货款</t>
  </si>
  <si>
    <t>买家实际支付金额</t>
  </si>
  <si>
    <t>退款状态</t>
  </si>
  <si>
    <t>退款金额</t>
  </si>
  <si>
    <t>订单创建时间</t>
  </si>
  <si>
    <t>订单付款时间</t>
  </si>
  <si>
    <t>抽绳高腰短裤女牛仔短裤弹力紧身A字裤浅蓝色黑色新款绑带ins热裤</t>
  </si>
  <si>
    <t>颜色分类：黑色;尺寸：XL[111-120斤]</t>
  </si>
  <si>
    <t>null</t>
  </si>
  <si>
    <t>买家已付款，等待卖家发货</t>
  </si>
  <si>
    <t>没有申请退款</t>
  </si>
  <si>
    <t>无退款申请</t>
  </si>
  <si>
    <t>高腰阔腿牛仔裤女小个子直筒宽松垂感九分阔脚裤复古港风深蓝色潮</t>
  </si>
  <si>
    <t>JKL805</t>
  </si>
  <si>
    <t>颜色分类：深蓝色加长款;尺寸：XL</t>
  </si>
  <si>
    <t>JKL80512004</t>
    <phoneticPr fontId="18" type="noConversion"/>
  </si>
  <si>
    <t>27202208580104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</si>
</sst>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宋体"/>
      <family val="2"/>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quotePrefix="1">
      <alignment vertical="center"/>
    </xf>
  </cellXfs>
  <cellStyles count="42">
    <cellStyle name="20% - 强调文字颜色 1" xfId="19" builtinId="30" customBuiltin="1"/>
    <cellStyle name="20% - 强调文字颜色 2" xfId="23" builtinId="34" customBuiltin="1"/>
    <cellStyle name="20% - 强调文字颜色 3" xfId="27" builtinId="38" customBuiltin="1"/>
    <cellStyle name="20% - 强调文字颜色 4" xfId="31" builtinId="42" customBuiltin="1"/>
    <cellStyle name="20% - 强调文字颜色 5" xfId="35" builtinId="46" customBuiltin="1"/>
    <cellStyle name="20% - 强调文字颜色 6" xfId="39" builtinId="50" customBuiltin="1"/>
    <cellStyle name="40% - 强调文字颜色 1" xfId="20" builtinId="31" customBuiltin="1"/>
    <cellStyle name="40% - 强调文字颜色 2" xfId="24" builtinId="35" customBuiltin="1"/>
    <cellStyle name="40% - 强调文字颜色 3" xfId="28" builtinId="39" customBuiltin="1"/>
    <cellStyle name="40% - 强调文字颜色 4" xfId="32" builtinId="43" customBuiltin="1"/>
    <cellStyle name="40% - 强调文字颜色 5" xfId="36" builtinId="47" customBuiltin="1"/>
    <cellStyle name="40% - 强调文字颜色 6" xfId="40" builtinId="51" customBuiltin="1"/>
    <cellStyle name="60% - 强调文字颜色 1" xfId="21" builtinId="32" customBuiltin="1"/>
    <cellStyle name="60% - 强调文字颜色 2" xfId="25" builtinId="36" customBuiltin="1"/>
    <cellStyle name="60% - 强调文字颜色 3" xfId="29" builtinId="40" customBuiltin="1"/>
    <cellStyle name="60% - 强调文字颜色 4" xfId="33" builtinId="44" customBuiltin="1"/>
    <cellStyle name="60% - 强调文字颜色 5" xfId="37" builtinId="48" customBuiltin="1"/>
    <cellStyle name="60% - 强调文字颜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强调文字颜色 1" xfId="18" builtinId="29" customBuiltin="1"/>
    <cellStyle name="强调文字颜色 2" xfId="22" builtinId="33" customBuiltin="1"/>
    <cellStyle name="强调文字颜色 3" xfId="26" builtinId="37" customBuiltin="1"/>
    <cellStyle name="强调文字颜色 4" xfId="30" builtinId="41" customBuiltin="1"/>
    <cellStyle name="强调文字颜色 5" xfId="34" builtinId="45" customBuiltin="1"/>
    <cellStyle name="强调文字颜色 6" xfId="38" builtinId="49" customBuiltin="1"/>
    <cellStyle name="适中" xfId="8" builtinId="28" customBuiltin="1"/>
    <cellStyle name="输出" xfId="10" builtinId="21" customBuiltin="1"/>
    <cellStyle name="输入" xfId="9" builtinId="20"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tabSelected="1" workbookViewId="0">
      <selection activeCell="G10" sqref="G10"/>
    </sheetView>
  </sheetViews>
  <sheetFormatPr defaultRowHeight="13.5"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t="str">
        <f>"3007753525735252502"</f>
        <v>3007753525735252502</v>
      </c>
      <c r="B2" t="str">
        <f>"3007753525735252502"</f>
        <v>3007753525735252502</v>
      </c>
      <c r="C2" t="s">
        <v>18</v>
      </c>
      <c r="D2">
        <v>54.9</v>
      </c>
      <c r="E2">
        <v>1</v>
      </c>
      <c r="F2" s="2" t="s">
        <v>28</v>
      </c>
      <c r="G2" t="s">
        <v>19</v>
      </c>
      <c r="H2" t="s">
        <v>20</v>
      </c>
      <c r="I2" t="s">
        <v>20</v>
      </c>
      <c r="J2" t="s">
        <v>21</v>
      </c>
      <c r="K2">
        <v>2720220858</v>
      </c>
      <c r="L2" t="str">
        <f>"2022110622001163681440963497"</f>
        <v>2022110622001163681440963497</v>
      </c>
      <c r="M2">
        <v>29.01</v>
      </c>
      <c r="N2">
        <v>29.01</v>
      </c>
      <c r="O2" t="s">
        <v>22</v>
      </c>
      <c r="P2" t="s">
        <v>23</v>
      </c>
      <c r="Q2" s="1">
        <v>44871.595833333333</v>
      </c>
      <c r="R2" s="1">
        <v>44871.595856481479</v>
      </c>
    </row>
    <row r="3" spans="1:18" x14ac:dyDescent="0.15">
      <c r="A3" t="str">
        <f>"1727577552380645780"</f>
        <v>1727577552380645780</v>
      </c>
      <c r="B3" t="str">
        <f>"1727577552380645780"</f>
        <v>1727577552380645780</v>
      </c>
      <c r="C3" t="s">
        <v>24</v>
      </c>
      <c r="D3">
        <v>89.9</v>
      </c>
      <c r="E3">
        <v>1</v>
      </c>
      <c r="F3" t="s">
        <v>27</v>
      </c>
      <c r="G3" t="s">
        <v>26</v>
      </c>
      <c r="H3" t="s">
        <v>20</v>
      </c>
      <c r="I3" t="s">
        <v>20</v>
      </c>
      <c r="J3" t="s">
        <v>21</v>
      </c>
      <c r="K3" t="s">
        <v>25</v>
      </c>
      <c r="L3" t="str">
        <f>"2022110622001162221452843168"</f>
        <v>2022110622001162221452843168</v>
      </c>
      <c r="M3">
        <v>69.22</v>
      </c>
      <c r="N3">
        <v>69.22</v>
      </c>
      <c r="O3" t="s">
        <v>22</v>
      </c>
      <c r="P3" t="s">
        <v>23</v>
      </c>
      <c r="Q3" s="1">
        <v>44871.591851851852</v>
      </c>
      <c r="R3" s="1">
        <v>44871.592164351852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ExportOrderDetailList2022110617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2022-11-06T09:16:58Z</dcterms:created>
  <dcterms:modified xsi:type="dcterms:W3CDTF">2022-11-06T09:18:46Z</dcterms:modified>
</cp:coreProperties>
</file>